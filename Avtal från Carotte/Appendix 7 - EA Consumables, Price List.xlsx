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rottegroup.sharepoint.com/sites/Housekeeping-Gemensam/Delade dokument/Kunder/1. STOCKHOLM/Electronic Arts DICE/AVTAL/"/>
    </mc:Choice>
  </mc:AlternateContent>
  <xr:revisionPtr revIDLastSave="2" documentId="8_{3E6E3AA4-BFA7-044E-AA05-60F0F137BE23}" xr6:coauthVersionLast="47" xr6:coauthVersionMax="47" xr10:uidLastSave="{8B815CDB-A028-2C42-8F3D-67A7AD485A6F}"/>
  <bookViews>
    <workbookView xWindow="680" yWindow="1000" windowWidth="27840" windowHeight="15780" xr2:uid="{152370DD-194D-1948-9B93-21BEDD7E2FAA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F6" i="1"/>
  <c r="F28" i="1" s="1"/>
  <c r="E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</calcChain>
</file>

<file path=xl/sharedStrings.xml><?xml version="1.0" encoding="utf-8"?>
<sst xmlns="http://schemas.openxmlformats.org/spreadsheetml/2006/main" count="80" uniqueCount="49">
  <si>
    <t>Consumables</t>
  </si>
  <si>
    <t xml:space="preserve">Toilet Paper (Abena Care Ness Excellent, or equivalent) </t>
  </si>
  <si>
    <t>Variable</t>
  </si>
  <si>
    <t>Package (12pc.)</t>
  </si>
  <si>
    <t>Hand Towel (Tork Express Soft Multi-Hand Towel, or equivalent)</t>
  </si>
  <si>
    <t>Package (3750st)</t>
  </si>
  <si>
    <t>Dry roll paper</t>
  </si>
  <si>
    <t>Soap 500ml</t>
  </si>
  <si>
    <t>Each</t>
  </si>
  <si>
    <t>Soap, foam dispenser</t>
  </si>
  <si>
    <t>1000ml</t>
  </si>
  <si>
    <t>Shampoo 1000ml</t>
  </si>
  <si>
    <t>900ml</t>
  </si>
  <si>
    <t>Conditioner 1000ml</t>
  </si>
  <si>
    <t>Shower gel 1000ml</t>
  </si>
  <si>
    <t>750ml</t>
  </si>
  <si>
    <t>Disinfecting gel 600ml</t>
  </si>
  <si>
    <t>600ml</t>
  </si>
  <si>
    <t>Black garbage bags 125 L</t>
  </si>
  <si>
    <t>Package (6rl)</t>
  </si>
  <si>
    <t>Black garbage bags 70 L</t>
  </si>
  <si>
    <t>Garbage bags 30L</t>
  </si>
  <si>
    <t>Package (10rl)</t>
  </si>
  <si>
    <t>Coil Gloss</t>
  </si>
  <si>
    <t>Dishwashing Detergent 1L</t>
  </si>
  <si>
    <t xml:space="preserve">Dishwashing Detergent for machines </t>
  </si>
  <si>
    <t>Package (99pc.)</t>
  </si>
  <si>
    <t>Salt for wash mashines</t>
  </si>
  <si>
    <t>1,2kg</t>
  </si>
  <si>
    <t>Laundry detergent</t>
  </si>
  <si>
    <t>10kg</t>
  </si>
  <si>
    <t>Fabric softener</t>
  </si>
  <si>
    <t>5000ml</t>
  </si>
  <si>
    <t>Dish cloth</t>
  </si>
  <si>
    <t>Package (10kg)</t>
  </si>
  <si>
    <t>Air freshener</t>
  </si>
  <si>
    <t>Toilet brush</t>
  </si>
  <si>
    <t>Dish brush</t>
  </si>
  <si>
    <t>Section Sub-Total</t>
  </si>
  <si>
    <t xml:space="preserve">EA Stockholm Cleaning Costs </t>
  </si>
  <si>
    <t>Service Type</t>
  </si>
  <si>
    <t>Cost Type</t>
  </si>
  <si>
    <t>Unit of Measure</t>
  </si>
  <si>
    <t>Unit Rate</t>
  </si>
  <si>
    <t>Quantity Baseline (per month)</t>
  </si>
  <si>
    <t>Cost Baseline (per month)</t>
  </si>
  <si>
    <t>Comments</t>
  </si>
  <si>
    <t>added by Carotte</t>
  </si>
  <si>
    <t>recommended AirBar instead of spray bottle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</si>
</sst>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kr&quot;"/>
  </numFmts>
  <fonts count="8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8"/>
      <color theme="1"/>
      <name val="Calibri"/>
      <family val="2"/>
    </font>
    <font>
      <b/>
      <sz val="12"/>
      <color theme="2"/>
      <name val="Calibri"/>
      <family val="2"/>
    </font>
    <font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6FA8DC"/>
        <bgColor rgb="FF6FA8DC"/>
      </patternFill>
    </fill>
    <fill>
      <patternFill patternType="solid">
        <fgColor rgb="FFD5A6BD"/>
        <bgColor rgb="FFD5A6BD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164" fontId="2" fillId="2" borderId="1" xfId="0" applyNumberFormat="1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164" fontId="2" fillId="0" borderId="1" xfId="0" applyNumberFormat="1" applyFont="1" applyBorder="1" applyAlignment="1">
      <alignment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vertical="center"/>
    </xf>
    <xf numFmtId="0" fontId="2" fillId="0" borderId="2" xfId="0" applyFont="1" applyBorder="1"/>
    <xf numFmtId="0" fontId="2" fillId="0" borderId="1" xfId="0" applyFont="1" applyBorder="1"/>
    <xf numFmtId="0" fontId="2" fillId="4" borderId="1" xfId="0" applyFont="1" applyFill="1" applyBorder="1"/>
    <xf numFmtId="0" fontId="1" fillId="6" borderId="1" xfId="0" applyFont="1" applyFill="1" applyBorder="1" applyAlignment="1">
      <alignment vertical="center"/>
    </xf>
    <xf numFmtId="164" fontId="1" fillId="7" borderId="1" xfId="0" applyNumberFormat="1" applyFont="1" applyFill="1" applyBorder="1" applyAlignment="1">
      <alignment vertical="center"/>
    </xf>
    <xf numFmtId="0" fontId="1" fillId="9" borderId="0" xfId="0" applyFont="1" applyFill="1" applyAlignment="1">
      <alignment horizontal="center" vertical="center"/>
    </xf>
    <xf numFmtId="0" fontId="2" fillId="9" borderId="0" xfId="0" applyFont="1" applyFill="1" applyAlignment="1">
      <alignment vertical="center"/>
    </xf>
    <xf numFmtId="0" fontId="2" fillId="0" borderId="11" xfId="0" applyFont="1" applyBorder="1" applyAlignment="1">
      <alignment vertical="center"/>
    </xf>
    <xf numFmtId="0" fontId="2" fillId="4" borderId="11" xfId="0" applyFont="1" applyFill="1" applyBorder="1" applyAlignment="1">
      <alignment vertical="center"/>
    </xf>
    <xf numFmtId="0" fontId="0" fillId="0" borderId="11" xfId="0" applyBorder="1"/>
    <xf numFmtId="0" fontId="7" fillId="4" borderId="11" xfId="0" applyFont="1" applyFill="1" applyBorder="1"/>
    <xf numFmtId="0" fontId="1" fillId="9" borderId="0" xfId="0" applyFont="1" applyFill="1" applyAlignment="1">
      <alignment vertical="center"/>
    </xf>
    <xf numFmtId="0" fontId="1" fillId="0" borderId="11" xfId="0" applyFont="1" applyBorder="1" applyAlignment="1">
      <alignment vertical="center"/>
    </xf>
    <xf numFmtId="0" fontId="3" fillId="5" borderId="3" xfId="0" applyFont="1" applyFill="1" applyBorder="1" applyAlignment="1">
      <alignment horizontal="right" vertical="center" wrapText="1"/>
    </xf>
    <xf numFmtId="0" fontId="4" fillId="0" borderId="4" xfId="0" applyFont="1" applyBorder="1"/>
    <xf numFmtId="0" fontId="5" fillId="8" borderId="0" xfId="0" applyFont="1" applyFill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4" fillId="0" borderId="9" xfId="0" applyFont="1" applyBorder="1"/>
    <xf numFmtId="164" fontId="3" fillId="5" borderId="6" xfId="0" applyNumberFormat="1" applyFont="1" applyFill="1" applyBorder="1" applyAlignment="1">
      <alignment horizontal="center" vertical="center"/>
    </xf>
    <xf numFmtId="164" fontId="4" fillId="0" borderId="9" xfId="0" applyNumberFormat="1" applyFont="1" applyBorder="1"/>
    <xf numFmtId="0" fontId="3" fillId="5" borderId="9" xfId="0" applyFont="1" applyFill="1" applyBorder="1" applyAlignment="1">
      <alignment horizontal="center" vertical="center"/>
    </xf>
    <xf numFmtId="164" fontId="3" fillId="5" borderId="7" xfId="0" applyNumberFormat="1" applyFont="1" applyFill="1" applyBorder="1" applyAlignment="1">
      <alignment horizontal="center" vertical="center"/>
    </xf>
    <xf numFmtId="164" fontId="3" fillId="5" borderId="10" xfId="0" applyNumberFormat="1" applyFont="1" applyFill="1" applyBorder="1" applyAlignment="1">
      <alignment horizontal="center" vertical="center"/>
    </xf>
    <xf numFmtId="0" fontId="6" fillId="9" borderId="8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3C7CC-1A17-3542-8588-2A072B2EAA60}">
  <dimension ref="A1:I28"/>
  <sheetViews>
    <sheetView tabSelected="1" workbookViewId="0">
      <selection activeCell="I6" sqref="I6"/>
    </sheetView>
  </sheetViews>
  <sheetFormatPr baseColWidth="10" defaultRowHeight="16" x14ac:dyDescent="0.2"/>
  <cols>
    <col min="1" max="1" width="51.1640625" customWidth="1"/>
    <col min="2" max="2" width="11.5" customWidth="1"/>
    <col min="3" max="3" width="17.33203125" customWidth="1"/>
    <col min="4" max="4" width="15.6640625" customWidth="1"/>
    <col min="5" max="5" width="26.33203125" customWidth="1"/>
    <col min="6" max="6" width="25.6640625" customWidth="1"/>
    <col min="8" max="8" width="40.33203125" customWidth="1"/>
  </cols>
  <sheetData>
    <row r="1" spans="1:9" x14ac:dyDescent="0.2">
      <c r="A1" s="29" t="s">
        <v>39</v>
      </c>
      <c r="B1" s="29"/>
      <c r="C1" s="29"/>
      <c r="D1" s="29"/>
      <c r="E1" s="29"/>
      <c r="F1" s="29"/>
      <c r="G1" s="29"/>
      <c r="H1" s="30"/>
    </row>
    <row r="2" spans="1:9" x14ac:dyDescent="0.2">
      <c r="A2" s="29"/>
      <c r="B2" s="29"/>
      <c r="C2" s="29"/>
      <c r="D2" s="29"/>
      <c r="E2" s="29"/>
      <c r="F2" s="29"/>
      <c r="G2" s="29"/>
      <c r="H2" s="30"/>
    </row>
    <row r="3" spans="1:9" x14ac:dyDescent="0.2">
      <c r="A3" s="31" t="s">
        <v>40</v>
      </c>
      <c r="B3" s="31" t="s">
        <v>41</v>
      </c>
      <c r="C3" s="31" t="s">
        <v>42</v>
      </c>
      <c r="D3" s="33" t="s">
        <v>43</v>
      </c>
      <c r="E3" s="31" t="s">
        <v>44</v>
      </c>
      <c r="F3" s="36" t="s">
        <v>45</v>
      </c>
      <c r="G3" s="19"/>
      <c r="H3" s="38" t="s">
        <v>46</v>
      </c>
    </row>
    <row r="4" spans="1:9" x14ac:dyDescent="0.2">
      <c r="A4" s="32"/>
      <c r="B4" s="32"/>
      <c r="C4" s="32"/>
      <c r="D4" s="34"/>
      <c r="E4" s="35"/>
      <c r="F4" s="37"/>
      <c r="G4" s="19"/>
      <c r="H4" s="38"/>
    </row>
    <row r="5" spans="1:9" x14ac:dyDescent="0.2">
      <c r="A5" s="1" t="s">
        <v>0</v>
      </c>
      <c r="B5" s="2"/>
      <c r="C5" s="2"/>
      <c r="D5" s="3"/>
      <c r="E5" s="2"/>
      <c r="F5" s="3"/>
      <c r="G5" s="20"/>
      <c r="H5" s="21"/>
      <c r="I5" s="39">
        <f>D6/12</f>
        <v>28.033333333333331</v>
      </c>
    </row>
    <row r="6" spans="1:9" x14ac:dyDescent="0.2">
      <c r="A6" s="4" t="s">
        <v>1</v>
      </c>
      <c r="B6" s="5" t="s">
        <v>2</v>
      </c>
      <c r="C6" s="5" t="s">
        <v>3</v>
      </c>
      <c r="D6" s="6">
        <v>336.4</v>
      </c>
      <c r="E6" s="7">
        <v>12</v>
      </c>
      <c r="F6" s="8">
        <f>SUM(D6*E6)</f>
        <v>4036.7999999999997</v>
      </c>
      <c r="G6" s="20"/>
      <c r="H6" s="21"/>
    </row>
    <row r="7" spans="1:9" x14ac:dyDescent="0.2">
      <c r="A7" s="4" t="s">
        <v>4</v>
      </c>
      <c r="B7" s="5" t="s">
        <v>2</v>
      </c>
      <c r="C7" s="5" t="s">
        <v>5</v>
      </c>
      <c r="D7" s="9">
        <v>485.6</v>
      </c>
      <c r="E7" s="5">
        <v>16</v>
      </c>
      <c r="F7" s="8">
        <f t="shared" ref="F6:F23" si="0">SUM(D7*E7)</f>
        <v>7769.6</v>
      </c>
      <c r="G7" s="20"/>
      <c r="H7" s="21"/>
    </row>
    <row r="8" spans="1:9" x14ac:dyDescent="0.2">
      <c r="A8" s="10" t="s">
        <v>6</v>
      </c>
      <c r="B8" s="11" t="s">
        <v>2</v>
      </c>
      <c r="C8" s="11" t="s">
        <v>3</v>
      </c>
      <c r="D8" s="12">
        <v>342.65</v>
      </c>
      <c r="E8" s="11">
        <v>4</v>
      </c>
      <c r="F8" s="13">
        <f t="shared" si="0"/>
        <v>1370.6</v>
      </c>
      <c r="G8" s="20"/>
      <c r="H8" s="22" t="s">
        <v>47</v>
      </c>
    </row>
    <row r="9" spans="1:9" x14ac:dyDescent="0.2">
      <c r="A9" s="4" t="s">
        <v>7</v>
      </c>
      <c r="B9" s="5" t="s">
        <v>2</v>
      </c>
      <c r="C9" s="5" t="s">
        <v>8</v>
      </c>
      <c r="D9" s="6">
        <v>27.65</v>
      </c>
      <c r="E9" s="5">
        <v>15</v>
      </c>
      <c r="F9" s="8">
        <f t="shared" si="0"/>
        <v>414.75</v>
      </c>
      <c r="G9" s="20"/>
      <c r="H9" s="21"/>
    </row>
    <row r="10" spans="1:9" x14ac:dyDescent="0.2">
      <c r="A10" s="10" t="s">
        <v>9</v>
      </c>
      <c r="B10" s="11" t="s">
        <v>2</v>
      </c>
      <c r="C10" s="11" t="s">
        <v>10</v>
      </c>
      <c r="D10" s="12">
        <v>172.85</v>
      </c>
      <c r="E10" s="11">
        <v>10</v>
      </c>
      <c r="F10" s="13">
        <f t="shared" si="0"/>
        <v>1728.5</v>
      </c>
      <c r="G10" s="20"/>
      <c r="H10" s="22" t="s">
        <v>47</v>
      </c>
    </row>
    <row r="11" spans="1:9" x14ac:dyDescent="0.2">
      <c r="A11" s="4" t="s">
        <v>11</v>
      </c>
      <c r="B11" s="5" t="s">
        <v>2</v>
      </c>
      <c r="C11" s="5" t="s">
        <v>12</v>
      </c>
      <c r="D11" s="6">
        <v>52.85</v>
      </c>
      <c r="E11" s="5">
        <v>5</v>
      </c>
      <c r="F11" s="8">
        <f t="shared" si="0"/>
        <v>264.25</v>
      </c>
      <c r="G11" s="20"/>
      <c r="H11" s="21"/>
    </row>
    <row r="12" spans="1:9" x14ac:dyDescent="0.2">
      <c r="A12" s="4" t="s">
        <v>13</v>
      </c>
      <c r="B12" s="5" t="s">
        <v>2</v>
      </c>
      <c r="C12" s="5" t="s">
        <v>12</v>
      </c>
      <c r="D12" s="6">
        <v>52.85</v>
      </c>
      <c r="E12" s="5">
        <v>4</v>
      </c>
      <c r="F12" s="8">
        <f>SUM(D12*E12)</f>
        <v>211.4</v>
      </c>
      <c r="G12" s="20"/>
      <c r="H12" s="21"/>
    </row>
    <row r="13" spans="1:9" x14ac:dyDescent="0.2">
      <c r="A13" s="14" t="s">
        <v>14</v>
      </c>
      <c r="B13" s="5" t="s">
        <v>2</v>
      </c>
      <c r="C13" s="5" t="s">
        <v>15</v>
      </c>
      <c r="D13" s="6">
        <v>68.650000000000006</v>
      </c>
      <c r="E13" s="5">
        <v>12</v>
      </c>
      <c r="F13" s="8">
        <f t="shared" si="0"/>
        <v>823.80000000000007</v>
      </c>
      <c r="G13" s="20"/>
      <c r="H13" s="21"/>
    </row>
    <row r="14" spans="1:9" x14ac:dyDescent="0.2">
      <c r="A14" s="15" t="s">
        <v>16</v>
      </c>
      <c r="B14" s="5" t="s">
        <v>2</v>
      </c>
      <c r="C14" s="5" t="s">
        <v>17</v>
      </c>
      <c r="D14" s="6">
        <v>40.299999999999997</v>
      </c>
      <c r="E14" s="5">
        <v>15</v>
      </c>
      <c r="F14" s="8">
        <f>SUM(D14*E14)</f>
        <v>604.5</v>
      </c>
      <c r="G14" s="20"/>
      <c r="H14" s="21"/>
    </row>
    <row r="15" spans="1:9" x14ac:dyDescent="0.2">
      <c r="A15" s="15" t="s">
        <v>18</v>
      </c>
      <c r="B15" s="5" t="s">
        <v>2</v>
      </c>
      <c r="C15" s="5" t="s">
        <v>19</v>
      </c>
      <c r="D15" s="6">
        <v>218.25</v>
      </c>
      <c r="E15" s="5">
        <v>8</v>
      </c>
      <c r="F15" s="8">
        <f>SUM(D15*E15)</f>
        <v>1746</v>
      </c>
      <c r="G15" s="20"/>
      <c r="H15" s="21"/>
    </row>
    <row r="16" spans="1:9" x14ac:dyDescent="0.2">
      <c r="A16" s="15" t="s">
        <v>20</v>
      </c>
      <c r="B16" s="5" t="s">
        <v>2</v>
      </c>
      <c r="C16" s="5" t="s">
        <v>19</v>
      </c>
      <c r="D16" s="6">
        <v>173.43</v>
      </c>
      <c r="E16" s="5">
        <v>8</v>
      </c>
      <c r="F16" s="8">
        <f t="shared" si="0"/>
        <v>1387.44</v>
      </c>
      <c r="G16" s="20"/>
      <c r="H16" s="21"/>
    </row>
    <row r="17" spans="1:8" x14ac:dyDescent="0.2">
      <c r="A17" s="15" t="s">
        <v>21</v>
      </c>
      <c r="B17" s="5" t="s">
        <v>2</v>
      </c>
      <c r="C17" s="5" t="s">
        <v>22</v>
      </c>
      <c r="D17" s="6">
        <v>159.91</v>
      </c>
      <c r="E17" s="5">
        <v>8</v>
      </c>
      <c r="F17" s="8">
        <f>SUM(D17*E17)</f>
        <v>1279.28</v>
      </c>
      <c r="G17" s="20"/>
      <c r="H17" s="21"/>
    </row>
    <row r="18" spans="1:8" x14ac:dyDescent="0.2">
      <c r="A18" s="15" t="s">
        <v>23</v>
      </c>
      <c r="B18" s="5" t="s">
        <v>2</v>
      </c>
      <c r="C18" s="5" t="s">
        <v>10</v>
      </c>
      <c r="D18" s="6">
        <v>142.61000000000001</v>
      </c>
      <c r="E18" s="5">
        <v>10</v>
      </c>
      <c r="F18" s="8">
        <f t="shared" si="0"/>
        <v>1426.1000000000001</v>
      </c>
      <c r="G18" s="20"/>
      <c r="H18" s="21"/>
    </row>
    <row r="19" spans="1:8" x14ac:dyDescent="0.2">
      <c r="A19" s="15" t="s">
        <v>24</v>
      </c>
      <c r="B19" s="5" t="s">
        <v>2</v>
      </c>
      <c r="C19" s="5" t="s">
        <v>12</v>
      </c>
      <c r="D19" s="6">
        <v>46.46</v>
      </c>
      <c r="E19" s="5">
        <v>10</v>
      </c>
      <c r="F19" s="8">
        <f>SUM(D19*E19)</f>
        <v>464.6</v>
      </c>
      <c r="G19" s="20"/>
      <c r="H19" s="21"/>
    </row>
    <row r="20" spans="1:8" x14ac:dyDescent="0.2">
      <c r="A20" s="15" t="s">
        <v>25</v>
      </c>
      <c r="B20" s="5" t="s">
        <v>2</v>
      </c>
      <c r="C20" s="5" t="s">
        <v>26</v>
      </c>
      <c r="D20" s="6">
        <v>195.71</v>
      </c>
      <c r="E20" s="5">
        <v>8</v>
      </c>
      <c r="F20" s="8">
        <f t="shared" si="0"/>
        <v>1565.68</v>
      </c>
      <c r="G20" s="20"/>
      <c r="H20" s="21"/>
    </row>
    <row r="21" spans="1:8" x14ac:dyDescent="0.2">
      <c r="A21" s="15" t="s">
        <v>27</v>
      </c>
      <c r="B21" s="5" t="s">
        <v>2</v>
      </c>
      <c r="C21" s="5" t="s">
        <v>28</v>
      </c>
      <c r="D21" s="6">
        <v>40</v>
      </c>
      <c r="E21" s="5">
        <v>6</v>
      </c>
      <c r="F21" s="8">
        <f>SUM(D21*E21)</f>
        <v>240</v>
      </c>
      <c r="G21" s="20"/>
      <c r="H21" s="21"/>
    </row>
    <row r="22" spans="1:8" x14ac:dyDescent="0.2">
      <c r="A22" s="15" t="s">
        <v>29</v>
      </c>
      <c r="B22" s="5" t="s">
        <v>2</v>
      </c>
      <c r="C22" s="5" t="s">
        <v>30</v>
      </c>
      <c r="D22" s="6">
        <v>273.24</v>
      </c>
      <c r="E22" s="5">
        <v>1</v>
      </c>
      <c r="F22" s="8">
        <f t="shared" si="0"/>
        <v>273.24</v>
      </c>
      <c r="G22" s="20"/>
      <c r="H22" s="23"/>
    </row>
    <row r="23" spans="1:8" x14ac:dyDescent="0.2">
      <c r="A23" s="16" t="s">
        <v>31</v>
      </c>
      <c r="B23" s="11" t="s">
        <v>2</v>
      </c>
      <c r="C23" s="11" t="s">
        <v>32</v>
      </c>
      <c r="D23" s="12">
        <v>195.71</v>
      </c>
      <c r="E23" s="11">
        <v>1</v>
      </c>
      <c r="F23" s="13">
        <f t="shared" si="0"/>
        <v>195.71</v>
      </c>
      <c r="G23" s="20"/>
      <c r="H23" s="24" t="s">
        <v>47</v>
      </c>
    </row>
    <row r="24" spans="1:8" x14ac:dyDescent="0.2">
      <c r="A24" s="15" t="s">
        <v>33</v>
      </c>
      <c r="B24" s="5" t="s">
        <v>2</v>
      </c>
      <c r="C24" s="5" t="s">
        <v>34</v>
      </c>
      <c r="D24" s="6">
        <v>44.29</v>
      </c>
      <c r="E24" s="5">
        <v>8</v>
      </c>
      <c r="F24" s="8">
        <f>SUM(D24*E24)</f>
        <v>354.32</v>
      </c>
      <c r="G24" s="20"/>
      <c r="H24" s="21"/>
    </row>
    <row r="25" spans="1:8" x14ac:dyDescent="0.2">
      <c r="A25" s="15" t="s">
        <v>35</v>
      </c>
      <c r="B25" s="5" t="s">
        <v>2</v>
      </c>
      <c r="C25" s="5" t="s">
        <v>8</v>
      </c>
      <c r="D25" s="6">
        <v>195</v>
      </c>
      <c r="E25" s="5">
        <v>24</v>
      </c>
      <c r="F25" s="8">
        <f t="shared" ref="F25:F27" si="1">SUM(D25*E25)</f>
        <v>4680</v>
      </c>
      <c r="G25" s="20"/>
      <c r="H25" s="21" t="s">
        <v>48</v>
      </c>
    </row>
    <row r="26" spans="1:8" x14ac:dyDescent="0.2">
      <c r="A26" s="15" t="s">
        <v>36</v>
      </c>
      <c r="B26" s="5" t="s">
        <v>2</v>
      </c>
      <c r="C26" s="5" t="s">
        <v>8</v>
      </c>
      <c r="D26" s="6">
        <v>30</v>
      </c>
      <c r="E26" s="5">
        <v>20</v>
      </c>
      <c r="F26" s="8">
        <f t="shared" si="1"/>
        <v>600</v>
      </c>
      <c r="G26" s="20"/>
      <c r="H26" s="21"/>
    </row>
    <row r="27" spans="1:8" x14ac:dyDescent="0.2">
      <c r="A27" s="15" t="s">
        <v>37</v>
      </c>
      <c r="B27" s="5" t="s">
        <v>2</v>
      </c>
      <c r="C27" s="5" t="s">
        <v>8</v>
      </c>
      <c r="D27" s="6">
        <v>10</v>
      </c>
      <c r="E27" s="5">
        <v>10</v>
      </c>
      <c r="F27" s="8">
        <f t="shared" si="1"/>
        <v>100</v>
      </c>
      <c r="G27" s="20"/>
      <c r="H27" s="21"/>
    </row>
    <row r="28" spans="1:8" x14ac:dyDescent="0.2">
      <c r="A28" s="27" t="s">
        <v>38</v>
      </c>
      <c r="B28" s="28"/>
      <c r="C28" s="28"/>
      <c r="D28" s="28"/>
      <c r="E28" s="17">
        <f>SUM(E7:E27)</f>
        <v>203</v>
      </c>
      <c r="F28" s="18">
        <f>SUM(F6:F27)</f>
        <v>31536.569999999996</v>
      </c>
      <c r="G28" s="25"/>
      <c r="H28" s="26"/>
    </row>
  </sheetData>
  <mergeCells count="9">
    <mergeCell ref="A28:D28"/>
    <mergeCell ref="A1:H2"/>
    <mergeCell ref="A3:A4"/>
    <mergeCell ref="B3:B4"/>
    <mergeCell ref="C3:C4"/>
    <mergeCell ref="D3:D4"/>
    <mergeCell ref="E3:E4"/>
    <mergeCell ref="F3:F4"/>
    <mergeCell ref="H3:H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EB9146C2465014AA85D5778DE27969A" ma:contentTypeVersion="18" ma:contentTypeDescription="Skapa ett nytt dokument." ma:contentTypeScope="" ma:versionID="6260e6a6fe755462a1ad0385dff90444">
  <xsd:schema xmlns:xsd="http://www.w3.org/2001/XMLSchema" xmlns:xs="http://www.w3.org/2001/XMLSchema" xmlns:p="http://schemas.microsoft.com/office/2006/metadata/properties" xmlns:ns2="4c5a592a-c495-4741-87cc-71bae9d115bc" xmlns:ns3="e85b2428-5d49-42a0-99e8-42d04e78cdb2" targetNamespace="http://schemas.microsoft.com/office/2006/metadata/properties" ma:root="true" ma:fieldsID="8974fb6dc71dce4fc1eb085267353bea" ns2:_="" ns3:_="">
    <xsd:import namespace="4c5a592a-c495-4741-87cc-71bae9d115bc"/>
    <xsd:import namespace="e85b2428-5d49-42a0-99e8-42d04e78cd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5a592a-c495-4741-87cc-71bae9d115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ildmarkeringar" ma:readOnly="false" ma:fieldId="{5cf76f15-5ced-4ddc-b409-7134ff3c332f}" ma:taxonomyMulti="true" ma:sspId="fcefa26e-783e-4c51-ad0d-b102623328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5b2428-5d49-42a0-99e8-42d04e78cdb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98c6e44b-c92e-4498-893e-8a6126ebd244}" ma:internalName="TaxCatchAll" ma:showField="CatchAllData" ma:web="e85b2428-5d49-42a0-99e8-42d04e78cd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5b2428-5d49-42a0-99e8-42d04e78cdb2" xsi:nil="true"/>
    <lcf76f155ced4ddcb4097134ff3c332f xmlns="4c5a592a-c495-4741-87cc-71bae9d115b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8423033-D337-429D-9668-A77C6A1221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A18CB86-B0CF-432F-90E8-88486FD8BE0D}"/>
</file>

<file path=customXml/itemProps3.xml><?xml version="1.0" encoding="utf-8"?>
<ds:datastoreItem xmlns:ds="http://schemas.openxmlformats.org/officeDocument/2006/customXml" ds:itemID="{3B42CBD3-9B65-407A-ABE8-2D5768AB03D8}">
  <ds:schemaRefs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www.w3.org/XML/1998/namespace"/>
    <ds:schemaRef ds:uri="http://schemas.microsoft.com/office/2006/metadata/properties"/>
    <ds:schemaRef ds:uri="http://purl.org/dc/dcmitype/"/>
    <ds:schemaRef ds:uri="http://purl.org/dc/elements/1.1/"/>
    <ds:schemaRef ds:uri="http://schemas.microsoft.com/office/infopath/2007/PartnerControls"/>
    <ds:schemaRef ds:uri="e85b2428-5d49-42a0-99e8-42d04e78cdb2"/>
    <ds:schemaRef ds:uri="4c5a592a-c495-4741-87cc-71bae9d115b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Katarina Nilsson</dc:creator>
  <cp:lastModifiedBy>Elin Axarp Dackerud</cp:lastModifiedBy>
  <dcterms:created xsi:type="dcterms:W3CDTF">2025-07-24T07:59:44Z</dcterms:created>
  <dcterms:modified xsi:type="dcterms:W3CDTF">2026-01-08T21:03:13Z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0x0101005EB9146C2465014AA85D5778DE27969A</vt:lpwstr>
  </property>
  <property fmtid="{D5CDD505-2E9C-101B-9397-08002B2CF9AE}" pid="3" name="MediaServiceImageTags">
    <vt:lpwstr/>
  </property>
</Properties>
</file>